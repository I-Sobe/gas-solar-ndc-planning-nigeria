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C:\Users\USER\Documents\MSc\MScPET\Thesis\thesis-repo\thesis-code\data\demand\"/>
    </mc:Choice>
  </mc:AlternateContent>
  <xr:revisionPtr revIDLastSave="0" documentId="13_ncr:1_{16D199AF-2F3B-44F0-9FDD-C7ED21ACDE8C}" xr6:coauthVersionLast="47" xr6:coauthVersionMax="47" xr10:uidLastSave="{00000000-0000-0000-0000-000000000000}"/>
  <bookViews>
    <workbookView xWindow="-108" yWindow="-108" windowWidth="23256" windowHeight="12456" tabRatio="500" xr2:uid="{00000000-000D-0000-FFFF-FFFF00000000}"/>
  </bookViews>
  <sheets>
    <sheet name="README" sheetId="1" r:id="rId1"/>
    <sheet name="Raw_NERC" sheetId="2" r:id="rId2"/>
    <sheet name="Raw_Ember_WDI" sheetId="3" r:id="rId3"/>
    <sheet name="Per_Capita" sheetId="4" r:id="rId4"/>
    <sheet name="Decomposition"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2" i="5" l="1"/>
  <c r="C21" i="5"/>
  <c r="C20" i="5"/>
  <c r="C19" i="5"/>
  <c r="C18" i="5"/>
  <c r="C14" i="5"/>
  <c r="E13" i="5"/>
  <c r="C13" i="5"/>
  <c r="C9" i="5"/>
  <c r="C8" i="5"/>
  <c r="C7" i="5"/>
  <c r="C6" i="5"/>
  <c r="C5" i="5"/>
  <c r="C20" i="4"/>
  <c r="E5" i="5" s="1"/>
  <c r="G5" i="5" s="1"/>
  <c r="B20" i="4"/>
  <c r="D5" i="5" s="1"/>
  <c r="G19" i="4"/>
  <c r="G19" i="5" s="1"/>
  <c r="C19" i="4"/>
  <c r="H19" i="4" s="1"/>
  <c r="B19" i="4"/>
  <c r="D18" i="5" s="1"/>
  <c r="G18" i="4"/>
  <c r="G22" i="5" s="1"/>
  <c r="C18" i="4"/>
  <c r="H18" i="4" s="1"/>
  <c r="B18" i="4"/>
  <c r="I18" i="4" s="1"/>
  <c r="F22" i="5" s="1"/>
  <c r="G17" i="4"/>
  <c r="C17" i="4"/>
  <c r="H17" i="4" s="1"/>
  <c r="B17" i="4"/>
  <c r="I17" i="4" s="1"/>
  <c r="G16" i="4"/>
  <c r="C16" i="4"/>
  <c r="H16" i="4" s="1"/>
  <c r="B16" i="4"/>
  <c r="H15" i="4"/>
  <c r="I15" i="4" s="1"/>
  <c r="G15" i="4"/>
  <c r="C15" i="4"/>
  <c r="B15" i="4"/>
  <c r="D15" i="4" s="1"/>
  <c r="G14" i="4"/>
  <c r="H14" i="4" s="1"/>
  <c r="I14" i="4" s="1"/>
  <c r="C14" i="4"/>
  <c r="B14" i="4"/>
  <c r="D14" i="4" s="1"/>
  <c r="G13" i="4"/>
  <c r="H13" i="4" s="1"/>
  <c r="I13" i="4" s="1"/>
  <c r="D13" i="4"/>
  <c r="C13" i="4"/>
  <c r="B13" i="4"/>
  <c r="G12" i="4"/>
  <c r="C12" i="4"/>
  <c r="H12" i="4" s="1"/>
  <c r="B12" i="4"/>
  <c r="I12" i="4" s="1"/>
  <c r="G11" i="4"/>
  <c r="C11" i="4"/>
  <c r="H11" i="4" s="1"/>
  <c r="B11" i="4"/>
  <c r="H10" i="4"/>
  <c r="I10" i="4" s="1"/>
  <c r="G10" i="4"/>
  <c r="C10" i="4"/>
  <c r="B10" i="4"/>
  <c r="D10" i="4" s="1"/>
  <c r="G9" i="4"/>
  <c r="H9" i="4" s="1"/>
  <c r="I9" i="4" s="1"/>
  <c r="D9" i="4"/>
  <c r="C9" i="4"/>
  <c r="B9" i="4"/>
  <c r="G8" i="4"/>
  <c r="C8" i="4"/>
  <c r="H8" i="4" s="1"/>
  <c r="B8" i="4"/>
  <c r="G7" i="4"/>
  <c r="C7" i="4"/>
  <c r="H7" i="4" s="1"/>
  <c r="B7" i="4"/>
  <c r="H6" i="4"/>
  <c r="I6" i="4" s="1"/>
  <c r="G6" i="4"/>
  <c r="C6" i="4"/>
  <c r="B6" i="4"/>
  <c r="D6" i="4" s="1"/>
  <c r="G5" i="4"/>
  <c r="H5" i="4" s="1"/>
  <c r="I5" i="4" s="1"/>
  <c r="D5" i="4"/>
  <c r="C5" i="4"/>
  <c r="B5" i="4"/>
  <c r="G12" i="2"/>
  <c r="E20" i="4" s="1"/>
  <c r="G11" i="2"/>
  <c r="E19" i="4" s="1"/>
  <c r="F19" i="4" s="1"/>
  <c r="G10" i="2"/>
  <c r="E18" i="4" s="1"/>
  <c r="F18" i="4" s="1"/>
  <c r="G9" i="2"/>
  <c r="E17" i="4" s="1"/>
  <c r="F17" i="4" s="1"/>
  <c r="G6" i="2"/>
  <c r="E14" i="4" s="1"/>
  <c r="F14" i="4" s="1"/>
  <c r="I7" i="4" l="1"/>
  <c r="E21" i="5"/>
  <c r="E19" i="5"/>
  <c r="E18" i="5"/>
  <c r="E20" i="5"/>
  <c r="I8" i="4"/>
  <c r="D27" i="5"/>
  <c r="D26" i="5"/>
  <c r="I11" i="4"/>
  <c r="E22" i="5"/>
  <c r="D13" i="5"/>
  <c r="F20" i="4"/>
  <c r="D14" i="5"/>
  <c r="I16" i="4"/>
  <c r="D17" i="4"/>
  <c r="D18" i="4"/>
  <c r="D19" i="4"/>
  <c r="F9" i="5" s="1"/>
  <c r="D20" i="4"/>
  <c r="D9" i="5"/>
  <c r="G18" i="5"/>
  <c r="D6" i="5"/>
  <c r="D28" i="5" s="1"/>
  <c r="E9" i="5"/>
  <c r="G9" i="5" s="1"/>
  <c r="D22" i="5"/>
  <c r="E7" i="5"/>
  <c r="G21" i="5"/>
  <c r="D8" i="4"/>
  <c r="D12" i="4"/>
  <c r="D7" i="4"/>
  <c r="D11" i="4"/>
  <c r="D16" i="4"/>
  <c r="E6" i="5"/>
  <c r="G6" i="5" s="1"/>
  <c r="E14" i="5"/>
  <c r="D19" i="5"/>
  <c r="G20" i="5"/>
  <c r="D8" i="5"/>
  <c r="D7" i="5"/>
  <c r="E8" i="5"/>
  <c r="G8" i="5" s="1"/>
  <c r="D21" i="5"/>
  <c r="D20" i="5"/>
  <c r="I19" i="4"/>
  <c r="F19" i="5" l="1"/>
  <c r="F18" i="5"/>
  <c r="F21" i="5"/>
  <c r="F20" i="5"/>
  <c r="F14" i="5"/>
  <c r="F13" i="5"/>
  <c r="F8" i="5"/>
  <c r="F5" i="5"/>
  <c r="F6" i="5"/>
  <c r="F7" i="5"/>
  <c r="G7" i="5"/>
</calcChain>
</file>

<file path=xl/sharedStrings.xml><?xml version="1.0" encoding="utf-8"?>
<sst xmlns="http://schemas.openxmlformats.org/spreadsheetml/2006/main" count="101" uniqueCount="71">
  <si>
    <t>Step 1 diagnostic — Nigerian grid generation per capita, 2010–2025</t>
  </si>
  <si>
    <t>PURPOSE</t>
  </si>
  <si>
    <t>Tests whether observed growth in Nigerian grid generation carries information about growth in electricity DEMAND, or only about population growth and the persistence of supply constraints. Feeds correction plan Phase 1.6 Step 1.</t>
  </si>
  <si>
    <t>HEADLINE RESULT</t>
  </si>
  <si>
    <t>Between 76% and &gt;100% of observed generation growth is demographic. Grid generation per capita rose from ~157 to ~175 kWh/person over fifteen years — about 0.73%/yr, equivalent to 2.1 W of additional continuous supply per person. Under some windows it is negative.</t>
  </si>
  <si>
    <t>METHODOLOGICAL CONSEQUENCE</t>
  </si>
  <si>
    <t>The observed series contains essentially no signal about consumption intensity. It cannot be used to source an organic demand-growth rate: doing so assumes the supply constraint persists and then reports low capacity needs because demand was assumed not to grow. Same error class as the superseded 23.08 TWh base (a collected-energy quantity read as demand).</t>
  </si>
  <si>
    <t>SOURCES</t>
  </si>
  <si>
    <t>NERC — Nigerian Electricity Regulatory Commission quarterly reports (2017–2026 Q1), gross generation sent out at busbar. AUTHORITATIVE for level and metering point. Series is incomplete: only 2019 has four quarters, and 2023–2025 have annual totals.</t>
  </si>
  <si>
    <t>Ember — Electricity Data Explorer, Nigeria annual total generation (TWh), 2010–2025. Used for SHAPE only, not level. Definitional boundary differs from NERC (see FLAGS).</t>
  </si>
  <si>
    <t>World Bank WDI — SP.POP.TOTL, Nigeria total population. Source: UN World Population Prospects plus national statistical office data.</t>
  </si>
  <si>
    <t>FLAGS — read before using any number here</t>
  </si>
  <si>
    <t>[F1] Nigeria's last census was 2006. All population figures are projections and are contested. The uncertainty propagates directly into every per-capita figure below.</t>
  </si>
  <si>
    <t>CELL CONVENTION</t>
  </si>
  <si>
    <t>Blue text = hardcoded input, transcribed from source. Black text = formula. Yellow fill = value carried into scenarios.py.</t>
  </si>
  <si>
    <t>NERC gross generation sent out at busbar — as transcribed</t>
  </si>
  <si>
    <t>Year</t>
  </si>
  <si>
    <t>Q1 (MWh)</t>
  </si>
  <si>
    <t>Q2 (MWh)</t>
  </si>
  <si>
    <t>Q3 (MWh)</t>
  </si>
  <si>
    <t>Q4 (MWh)</t>
  </si>
  <si>
    <t>Annual (GWh)</t>
  </si>
  <si>
    <t>Total (TWh)</t>
  </si>
  <si>
    <t>Note / integrity flag</t>
  </si>
  <si>
    <t>Q1,Q2 missing — annual total not computable</t>
  </si>
  <si>
    <t>not gathered</t>
  </si>
  <si>
    <t>annual total, NERC</t>
  </si>
  <si>
    <t>annual total, NERC — model Tier 1 anchor</t>
  </si>
  <si>
    <t>Ember generation and World Bank population — long series</t>
  </si>
  <si>
    <t>Ember gen (TWh)</t>
  </si>
  <si>
    <t>WDI population</t>
  </si>
  <si>
    <t>Access rate (fraction)</t>
  </si>
  <si>
    <t>Source</t>
  </si>
  <si>
    <t>Ember / WDI SP.POP.TOTL / WDI EG.ELC.ACCS.ZS</t>
  </si>
  <si>
    <t>Grid generation per capita (kWh/person/year)</t>
  </si>
  <si>
    <t>Population</t>
  </si>
  <si>
    <t>kWh per total capita</t>
  </si>
  <si>
    <t>NERC gen (TWh)</t>
  </si>
  <si>
    <t>NERC kWh per total capita</t>
  </si>
  <si>
    <t>Access rate</t>
  </si>
  <si>
    <t>Connected population</t>
  </si>
  <si>
    <t>kWh per CONNECTED capita</t>
  </si>
  <si>
    <t>CAGR decomposition: generation growth = population growth x per-capita growth</t>
  </si>
  <si>
    <t>Ember basis (long series). Multiple windows shown as a robustness check.</t>
  </si>
  <si>
    <t>From</t>
  </si>
  <si>
    <t>To</t>
  </si>
  <si>
    <t>Years</t>
  </si>
  <si>
    <t>Generation CAGR</t>
  </si>
  <si>
    <t>Population CAGR</t>
  </si>
  <si>
    <t>Per-capita CAGR</t>
  </si>
  <si>
    <t>Demographic share of growth</t>
  </si>
  <si>
    <t>NERC basis (short series — 2 to 3 years only, reported for comparison)</t>
  </si>
  <si>
    <t>CONNECTED-POPULATION basis (Ember gen / (population x access rate))</t>
  </si>
  <si>
    <t>Connected pop CAGR</t>
  </si>
  <si>
    <t>kWh/connected CAGR</t>
  </si>
  <si>
    <t>Access rate CAGR</t>
  </si>
  <si>
    <t>CARRIED INTO scenarios.py</t>
  </si>
  <si>
    <t>constrained_continuation (central)</t>
  </si>
  <si>
    <t>Ember 2010-2025 generation CAGR. Supply-suppressed series: label as constraint-persistence arm, NOT organic demand growth.</t>
  </si>
  <si>
    <t>constrained_continuation (low)</t>
  </si>
  <si>
    <t>Weakest window (2014-2024). Reported as the range floor.</t>
  </si>
  <si>
    <t>constrained_continuation (high)</t>
  </si>
  <si>
    <t>Strongest window (2017-2025).</t>
  </si>
  <si>
    <t>[F2] The NERC 2022 entry is 3,988 MWh/h — an average-power figure, not an annual energy total. Converted here as x 8,760 h. Whether it is sent-out or generated is UNVERIFIED.</t>
  </si>
  <si>
    <t>[F3] The NERC-to-Ember level gap is NOT a stable definitional offset: +8.8% (2022), +11.5% (2023), +1.3% (2024), +6.0% (2025). A stable offset would permit clean index-splicing; this does not. The two series are therefore reported side by side and never merged.</t>
  </si>
  <si>
    <t>[F4] The connected-population denominator is NOT computed here. Tier 1's correct denominator is connected population, not total; using total folds access expansion into organic growth. Requires WDI EG.ELC.ACCS.ZS, not yet gathered.</t>
  </si>
  <si>
    <t>[F5] 2026 Q1 (8,883.47 GWh) is a partial year and is excluded from all calculations.</t>
  </si>
  <si>
    <t>[F2] source gives 3,988 MWh/h — see G8 formula</t>
  </si>
  <si>
    <t>[F5] Q1 only (8,883.47 GWh) — partial year, excluded</t>
  </si>
  <si>
    <t>Source: NERC quarterly reports. Units as printed in source — MWh, GWh and MWh/h all appear; see [F2].</t>
  </si>
  <si>
    <t>[F4] Both denominators shown. WDI access includes off-grid/DRE, so 'connected' overstates GRID-connected population and the per-connected decline is a lower bound.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</si>
</sst>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
  </numFmts>
  <fonts count="7" x14ac:knownFonts="1">
    <font>
      <sz val="11"/>
      <color theme="1"/>
      <name val="Calibri"/>
      <family val="2"/>
      <charset val="1"/>
    </font>
    <font>
      <b/>
      <sz val="12"/>
      <name val="Arial"/>
      <charset val="1"/>
    </font>
    <font>
      <sz val="10"/>
      <name val="Arial"/>
      <charset val="1"/>
    </font>
    <font>
      <b/>
      <sz val="10"/>
      <name val="Arial"/>
      <charset val="1"/>
    </font>
    <font>
      <b/>
      <sz val="10"/>
      <color rgb="FFFFFFFF"/>
      <name val="Arial"/>
      <charset val="1"/>
    </font>
    <font>
      <sz val="10"/>
      <color rgb="FF0000FF"/>
      <name val="Arial"/>
      <charset val="1"/>
    </font>
    <font>
      <i/>
      <sz val="9"/>
      <name val="Arial"/>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4" fillId="2" borderId="0" xfId="0" applyFont="1" applyFill="1" applyAlignment="1">
      <alignment vertical="top" wrapText="1"/>
    </xf>
    <xf numFmtId="0" fontId="2" fillId="0" borderId="0" xfId="0" applyFont="1"/>
    <xf numFmtId="164" fontId="5" fillId="0" borderId="0" xfId="0" applyNumberFormat="1" applyFont="1"/>
    <xf numFmtId="165" fontId="2" fillId="0" borderId="0" xfId="0" applyNumberFormat="1" applyFont="1"/>
    <xf numFmtId="0" fontId="3" fillId="0" borderId="0" xfId="0" applyFont="1"/>
    <xf numFmtId="0" fontId="4" fillId="2" borderId="0" xfId="0" applyFont="1" applyFill="1"/>
    <xf numFmtId="4" fontId="5" fillId="0" borderId="0" xfId="0" applyNumberFormat="1" applyFont="1"/>
    <xf numFmtId="3" fontId="5" fillId="0" borderId="0" xfId="0" applyNumberFormat="1" applyFont="1"/>
    <xf numFmtId="166" fontId="5" fillId="0" borderId="0" xfId="0" applyNumberFormat="1" applyFont="1"/>
    <xf numFmtId="0" fontId="6" fillId="0" borderId="0" xfId="0" applyFont="1"/>
    <xf numFmtId="4" fontId="2" fillId="0" borderId="0" xfId="0" applyNumberFormat="1" applyFont="1"/>
    <xf numFmtId="3" fontId="2" fillId="0" borderId="0" xfId="0" applyNumberFormat="1" applyFont="1"/>
    <xf numFmtId="164" fontId="2" fillId="0" borderId="0" xfId="0" applyNumberFormat="1" applyFont="1"/>
    <xf numFmtId="166" fontId="2" fillId="0" borderId="0" xfId="0" applyNumberFormat="1" applyFont="1"/>
    <xf numFmtId="10" fontId="2" fillId="0" borderId="0" xfId="0" applyNumberFormat="1" applyFont="1"/>
    <xf numFmtId="10" fontId="2" fillId="3" borderId="0" xfId="0" applyNumberFormat="1"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BE4B48"/>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A7EBB"/>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Nigeria: grid generation per capita (kWh/person/yr)</a:t>
            </a:r>
          </a:p>
        </c:rich>
      </c:tx>
      <c:overlay val="0"/>
      <c:spPr>
        <a:noFill/>
        <a:ln w="0">
          <a:noFill/>
        </a:ln>
      </c:spPr>
    </c:title>
    <c:autoTitleDeleted val="0"/>
    <c:plotArea>
      <c:layout/>
      <c:lineChart>
        <c:grouping val="standard"/>
        <c:varyColors val="0"/>
        <c:ser>
          <c:idx val="0"/>
          <c:order val="0"/>
          <c:tx>
            <c:strRef>
              <c:f>Per_Capita!$D$4</c:f>
              <c:strCache>
                <c:ptCount val="1"/>
                <c:pt idx="0">
                  <c:v>kWh per total capita</c:v>
                </c:pt>
              </c:strCache>
            </c:strRef>
          </c:tx>
          <c:spPr>
            <a:ln w="28440">
              <a:solidFill>
                <a:srgbClr val="4A7EBB"/>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Per_Capita!$A$5:$A$20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Per_Capita!$D$5:$D$20</c:f>
              <c:numCache>
                <c:formatCode>#,##0.0</c:formatCode>
                <c:ptCount val="16"/>
                <c:pt idx="0">
                  <c:v>156.80237318981622</c:v>
                </c:pt>
                <c:pt idx="1">
                  <c:v>157.77840720573985</c:v>
                </c:pt>
                <c:pt idx="2">
                  <c:v>163.10952358994186</c:v>
                </c:pt>
                <c:pt idx="3">
                  <c:v>159.79060482389886</c:v>
                </c:pt>
                <c:pt idx="4">
                  <c:v>173.6446244952478</c:v>
                </c:pt>
                <c:pt idx="5">
                  <c:v>173.96377666139105</c:v>
                </c:pt>
                <c:pt idx="6">
                  <c:v>186.95921127158357</c:v>
                </c:pt>
                <c:pt idx="7">
                  <c:v>160.99507018014307</c:v>
                </c:pt>
                <c:pt idx="8">
                  <c:v>179.12668592136222</c:v>
                </c:pt>
                <c:pt idx="9">
                  <c:v>174.04534184755889</c:v>
                </c:pt>
                <c:pt idx="10">
                  <c:v>177.57326239387422</c:v>
                </c:pt>
                <c:pt idx="11">
                  <c:v>179.38099152531893</c:v>
                </c:pt>
                <c:pt idx="12">
                  <c:v>170.2883594964369</c:v>
                </c:pt>
                <c:pt idx="13">
                  <c:v>179.56587317229906</c:v>
                </c:pt>
                <c:pt idx="14">
                  <c:v>161.42377627304114</c:v>
                </c:pt>
                <c:pt idx="15">
                  <c:v>174.88480568559345</c:v>
                </c:pt>
              </c:numCache>
            </c:numRef>
          </c:val>
          <c:smooth val="1"/>
          <c:extLst>
            <c:ext xmlns:c16="http://schemas.microsoft.com/office/drawing/2014/chart" uri="{C3380CC4-5D6E-409C-BE32-E72D297353CC}">
              <c16:uniqueId val="{00000000-F49A-44B7-95CC-DC6FC2226F38}"/>
            </c:ext>
          </c:extLst>
        </c:ser>
        <c:ser>
          <c:idx val="1"/>
          <c:order val="1"/>
          <c:tx>
            <c:strRef>
              <c:f>Per_Capita!$I$4</c:f>
              <c:strCache>
                <c:ptCount val="1"/>
                <c:pt idx="0">
                  <c:v>kWh per CONNECTED capita</c:v>
                </c:pt>
              </c:strCache>
            </c:strRef>
          </c:tx>
          <c:spPr>
            <a:ln w="2844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Per_Capita!$A$5:$A$20</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Per_Capita!$I$5:$I$20</c:f>
              <c:numCache>
                <c:formatCode>#,##0.0</c:formatCode>
                <c:ptCount val="16"/>
                <c:pt idx="0">
                  <c:v>326.67161081211714</c:v>
                </c:pt>
                <c:pt idx="1">
                  <c:v>282.25117568110886</c:v>
                </c:pt>
                <c:pt idx="2">
                  <c:v>307.75381809422993</c:v>
                </c:pt>
                <c:pt idx="3">
                  <c:v>287.39317414370294</c:v>
                </c:pt>
                <c:pt idx="4">
                  <c:v>320.37753596909187</c:v>
                </c:pt>
                <c:pt idx="5">
                  <c:v>331.35957459312579</c:v>
                </c:pt>
                <c:pt idx="6">
                  <c:v>315.27691614095039</c:v>
                </c:pt>
                <c:pt idx="7">
                  <c:v>295.9468201840865</c:v>
                </c:pt>
                <c:pt idx="8">
                  <c:v>317.03838216170305</c:v>
                </c:pt>
                <c:pt idx="9">
                  <c:v>314.16126687284998</c:v>
                </c:pt>
                <c:pt idx="10">
                  <c:v>320.52935450157798</c:v>
                </c:pt>
                <c:pt idx="11">
                  <c:v>301.48065802574615</c:v>
                </c:pt>
                <c:pt idx="12">
                  <c:v>281.46836280402795</c:v>
                </c:pt>
                <c:pt idx="13">
                  <c:v>293.40828949722066</c:v>
                </c:pt>
                <c:pt idx="14">
                  <c:v>258.27804203686583</c:v>
                </c:pt>
              </c:numCache>
            </c:numRef>
          </c:val>
          <c:smooth val="1"/>
          <c:extLst>
            <c:ext xmlns:c16="http://schemas.microsoft.com/office/drawing/2014/chart" uri="{C3380CC4-5D6E-409C-BE32-E72D297353CC}">
              <c16:uniqueId val="{00000001-F49A-44B7-95CC-DC6FC2226F38}"/>
            </c:ext>
          </c:extLst>
        </c:ser>
        <c:dLbls>
          <c:showLegendKey val="0"/>
          <c:showVal val="0"/>
          <c:showCatName val="0"/>
          <c:showSerName val="0"/>
          <c:showPercent val="0"/>
          <c:showBubbleSize val="0"/>
        </c:dLbls>
        <c:hiLowLines>
          <c:spPr>
            <a:ln w="0">
              <a:noFill/>
            </a:ln>
          </c:spPr>
        </c:hiLowLines>
        <c:smooth val="0"/>
        <c:axId val="22473475"/>
        <c:axId val="84700728"/>
      </c:lineChart>
      <c:catAx>
        <c:axId val="22473475"/>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Year</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4700728"/>
        <c:crosses val="autoZero"/>
        <c:auto val="1"/>
        <c:lblAlgn val="ctr"/>
        <c:lblOffset val="100"/>
        <c:noMultiLvlLbl val="0"/>
      </c:catAx>
      <c:valAx>
        <c:axId val="8470072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kWh per person per year</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473475"/>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20</xdr:col>
      <xdr:colOff>364680</xdr:colOff>
      <xdr:row>19</xdr:row>
      <xdr:rowOff>79560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6"/>
  <sheetViews>
    <sheetView tabSelected="1" zoomScaleNormal="100" workbookViewId="0">
      <selection activeCell="B7" sqref="B7"/>
    </sheetView>
  </sheetViews>
  <sheetFormatPr defaultColWidth="8.6640625" defaultRowHeight="14.4" x14ac:dyDescent="0.3"/>
  <cols>
    <col min="1" max="1" width="4" customWidth="1"/>
    <col min="2" max="2" width="110" customWidth="1"/>
  </cols>
  <sheetData>
    <row r="1" spans="2:2" ht="15.6" x14ac:dyDescent="0.3">
      <c r="B1" s="1" t="s">
        <v>0</v>
      </c>
    </row>
    <row r="2" spans="2:2" x14ac:dyDescent="0.3">
      <c r="B2" s="2"/>
    </row>
    <row r="3" spans="2:2" x14ac:dyDescent="0.3">
      <c r="B3" s="3" t="s">
        <v>1</v>
      </c>
    </row>
    <row r="4" spans="2:2" ht="26.4" x14ac:dyDescent="0.3">
      <c r="B4" s="2" t="s">
        <v>2</v>
      </c>
    </row>
    <row r="5" spans="2:2" x14ac:dyDescent="0.3">
      <c r="B5" s="2"/>
    </row>
    <row r="6" spans="2:2" x14ac:dyDescent="0.3">
      <c r="B6" s="3" t="s">
        <v>3</v>
      </c>
    </row>
    <row r="7" spans="2:2" ht="39.6" x14ac:dyDescent="0.3">
      <c r="B7" s="2" t="s">
        <v>4</v>
      </c>
    </row>
    <row r="8" spans="2:2" x14ac:dyDescent="0.3">
      <c r="B8" s="2"/>
    </row>
    <row r="9" spans="2:2" x14ac:dyDescent="0.3">
      <c r="B9" s="3" t="s">
        <v>5</v>
      </c>
    </row>
    <row r="10" spans="2:2" ht="39.6" x14ac:dyDescent="0.3">
      <c r="B10" s="2" t="s">
        <v>6</v>
      </c>
    </row>
    <row r="11" spans="2:2" x14ac:dyDescent="0.3">
      <c r="B11" s="2"/>
    </row>
    <row r="12" spans="2:2" x14ac:dyDescent="0.3">
      <c r="B12" s="3" t="s">
        <v>7</v>
      </c>
    </row>
    <row r="13" spans="2:2" ht="26.4" x14ac:dyDescent="0.3">
      <c r="B13" s="2" t="s">
        <v>8</v>
      </c>
    </row>
    <row r="14" spans="2:2" ht="26.4" x14ac:dyDescent="0.3">
      <c r="B14" s="2" t="s">
        <v>9</v>
      </c>
    </row>
    <row r="15" spans="2:2" ht="26.4" x14ac:dyDescent="0.3">
      <c r="B15" s="2" t="s">
        <v>10</v>
      </c>
    </row>
    <row r="16" spans="2:2" x14ac:dyDescent="0.3">
      <c r="B16" s="2"/>
    </row>
    <row r="17" spans="2:2" x14ac:dyDescent="0.3">
      <c r="B17" s="3" t="s">
        <v>11</v>
      </c>
    </row>
    <row r="18" spans="2:2" ht="26.4" x14ac:dyDescent="0.3">
      <c r="B18" s="2" t="s">
        <v>12</v>
      </c>
    </row>
    <row r="19" spans="2:2" ht="26.4" x14ac:dyDescent="0.3">
      <c r="B19" s="2" t="s">
        <v>63</v>
      </c>
    </row>
    <row r="20" spans="2:2" ht="39.6" x14ac:dyDescent="0.3">
      <c r="B20" s="2" t="s">
        <v>64</v>
      </c>
    </row>
    <row r="21" spans="2:2" ht="26.4" x14ac:dyDescent="0.3">
      <c r="B21" s="2" t="s">
        <v>65</v>
      </c>
    </row>
    <row r="22" spans="2:2" x14ac:dyDescent="0.3">
      <c r="B22" s="2" t="s">
        <v>66</v>
      </c>
    </row>
    <row r="24" spans="2:2" x14ac:dyDescent="0.3">
      <c r="B24" s="2"/>
    </row>
    <row r="25" spans="2:2" x14ac:dyDescent="0.3">
      <c r="B25" s="3" t="s">
        <v>13</v>
      </c>
    </row>
    <row r="26" spans="2:2" x14ac:dyDescent="0.3">
      <c r="B26" s="2" t="s">
        <v>14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zoomScaleNormal="100" workbookViewId="0">
      <selection activeCell="A16" sqref="A16"/>
    </sheetView>
  </sheetViews>
  <sheetFormatPr defaultColWidth="8.6640625" defaultRowHeight="14.4" x14ac:dyDescent="0.3"/>
  <cols>
    <col min="1" max="1" width="8" customWidth="1"/>
    <col min="2" max="5" width="14" customWidth="1"/>
    <col min="6" max="6" width="16" customWidth="1"/>
    <col min="7" max="7" width="12" customWidth="1"/>
    <col min="8" max="8" width="46" customWidth="1"/>
  </cols>
  <sheetData>
    <row r="1" spans="1:8" ht="15.6" x14ac:dyDescent="0.3">
      <c r="A1" s="4" t="s">
        <v>15</v>
      </c>
    </row>
    <row r="3" spans="1:8" x14ac:dyDescent="0.3">
      <c r="A3" s="5" t="s">
        <v>16</v>
      </c>
      <c r="B3" s="5" t="s">
        <v>17</v>
      </c>
      <c r="C3" s="5" t="s">
        <v>18</v>
      </c>
      <c r="D3" s="5" t="s">
        <v>19</v>
      </c>
      <c r="E3" s="5" t="s">
        <v>20</v>
      </c>
      <c r="F3" s="5" t="s">
        <v>21</v>
      </c>
      <c r="G3" s="5" t="s">
        <v>22</v>
      </c>
      <c r="H3" s="5" t="s">
        <v>23</v>
      </c>
    </row>
    <row r="4" spans="1:8" x14ac:dyDescent="0.3">
      <c r="A4" s="6">
        <v>2017</v>
      </c>
      <c r="B4" s="7"/>
      <c r="C4" s="7"/>
      <c r="D4" s="7">
        <v>7399765.0999999996</v>
      </c>
      <c r="E4" s="7">
        <v>8705606</v>
      </c>
      <c r="F4" s="7"/>
      <c r="G4" s="8"/>
      <c r="H4" s="2" t="s">
        <v>24</v>
      </c>
    </row>
    <row r="5" spans="1:8" x14ac:dyDescent="0.3">
      <c r="A5" s="6">
        <v>2018</v>
      </c>
      <c r="B5" s="7">
        <v>8511481</v>
      </c>
      <c r="C5" s="7"/>
      <c r="D5" s="7"/>
      <c r="E5" s="7">
        <v>8878473</v>
      </c>
      <c r="F5" s="7"/>
      <c r="G5" s="8"/>
      <c r="H5" s="2"/>
    </row>
    <row r="6" spans="1:8" x14ac:dyDescent="0.3">
      <c r="A6" s="6">
        <v>2019</v>
      </c>
      <c r="B6" s="7">
        <v>8878473</v>
      </c>
      <c r="C6" s="7">
        <v>8451428</v>
      </c>
      <c r="D6" s="7">
        <v>7984685</v>
      </c>
      <c r="E6" s="7">
        <v>8101193</v>
      </c>
      <c r="F6" s="7"/>
      <c r="G6" s="8">
        <f>SUM(B6:E6)/1000000</f>
        <v>33.415779000000001</v>
      </c>
      <c r="H6" s="2"/>
    </row>
    <row r="7" spans="1:8" x14ac:dyDescent="0.3">
      <c r="A7" s="6">
        <v>2020</v>
      </c>
      <c r="B7" s="7"/>
      <c r="C7" s="7"/>
      <c r="D7" s="7"/>
      <c r="E7" s="7"/>
      <c r="F7" s="7"/>
      <c r="G7" s="8"/>
      <c r="H7" s="2" t="s">
        <v>25</v>
      </c>
    </row>
    <row r="8" spans="1:8" x14ac:dyDescent="0.3">
      <c r="A8" s="6">
        <v>2021</v>
      </c>
      <c r="B8" s="7"/>
      <c r="C8" s="7"/>
      <c r="D8" s="7"/>
      <c r="E8" s="7"/>
      <c r="F8" s="7"/>
      <c r="G8" s="8"/>
      <c r="H8" s="2" t="s">
        <v>25</v>
      </c>
    </row>
    <row r="9" spans="1:8" x14ac:dyDescent="0.3">
      <c r="A9" s="6">
        <v>2022</v>
      </c>
      <c r="B9" s="7"/>
      <c r="C9" s="7"/>
      <c r="D9" s="7"/>
      <c r="E9" s="7"/>
      <c r="F9" s="7"/>
      <c r="G9" s="8">
        <f>3988*8760/1000000</f>
        <v>34.93488</v>
      </c>
      <c r="H9" s="2" t="s">
        <v>67</v>
      </c>
    </row>
    <row r="10" spans="1:8" x14ac:dyDescent="0.3">
      <c r="A10" s="6">
        <v>2023</v>
      </c>
      <c r="B10" s="7"/>
      <c r="C10" s="7"/>
      <c r="D10" s="7"/>
      <c r="E10" s="7"/>
      <c r="F10" s="7">
        <v>36710.379999999997</v>
      </c>
      <c r="G10" s="8">
        <f>F10/1000</f>
        <v>36.710380000000001</v>
      </c>
      <c r="H10" s="2" t="s">
        <v>26</v>
      </c>
    </row>
    <row r="11" spans="1:8" x14ac:dyDescent="0.3">
      <c r="A11" s="6">
        <v>2024</v>
      </c>
      <c r="B11" s="7"/>
      <c r="C11" s="7"/>
      <c r="D11" s="7"/>
      <c r="E11" s="7"/>
      <c r="F11" s="7">
        <v>37093.699999999997</v>
      </c>
      <c r="G11" s="8">
        <f>F11/1000</f>
        <v>37.093699999999998</v>
      </c>
      <c r="H11" s="2" t="s">
        <v>27</v>
      </c>
    </row>
    <row r="12" spans="1:8" x14ac:dyDescent="0.3">
      <c r="A12" s="6">
        <v>2025</v>
      </c>
      <c r="B12" s="7"/>
      <c r="C12" s="7"/>
      <c r="D12" s="7"/>
      <c r="E12" s="7"/>
      <c r="F12" s="7">
        <v>39193.93</v>
      </c>
      <c r="G12" s="8">
        <f>F12/1000</f>
        <v>39.193930000000002</v>
      </c>
      <c r="H12" s="2" t="s">
        <v>26</v>
      </c>
    </row>
    <row r="13" spans="1:8" ht="26.4" x14ac:dyDescent="0.3">
      <c r="A13" s="6">
        <v>2026</v>
      </c>
      <c r="B13" s="7"/>
      <c r="C13" s="7"/>
      <c r="D13" s="7"/>
      <c r="E13" s="7"/>
      <c r="F13" s="7"/>
      <c r="G13" s="8"/>
      <c r="H13" s="2" t="s">
        <v>68</v>
      </c>
    </row>
    <row r="15" spans="1:8" x14ac:dyDescent="0.3">
      <c r="A15" s="9" t="s">
        <v>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zoomScaleNormal="100" workbookViewId="0"/>
  </sheetViews>
  <sheetFormatPr defaultColWidth="8.6640625" defaultRowHeight="14.4" x14ac:dyDescent="0.3"/>
  <cols>
    <col min="1" max="1" width="10" customWidth="1"/>
    <col min="2" max="4" width="20" customWidth="1"/>
    <col min="5" max="5" width="46.109375" bestFit="1" customWidth="1"/>
  </cols>
  <sheetData>
    <row r="1" spans="1:5" ht="15.6" x14ac:dyDescent="0.3">
      <c r="A1" s="4" t="s">
        <v>28</v>
      </c>
    </row>
    <row r="3" spans="1:5" x14ac:dyDescent="0.3">
      <c r="A3" s="10" t="s">
        <v>16</v>
      </c>
      <c r="B3" s="10" t="s">
        <v>29</v>
      </c>
      <c r="C3" s="10" t="s">
        <v>30</v>
      </c>
      <c r="D3" s="10" t="s">
        <v>31</v>
      </c>
      <c r="E3" s="10" t="s">
        <v>32</v>
      </c>
    </row>
    <row r="4" spans="1:5" x14ac:dyDescent="0.3">
      <c r="A4" s="6">
        <v>2010</v>
      </c>
      <c r="B4" s="11">
        <v>26.13</v>
      </c>
      <c r="C4" s="12">
        <v>166642886</v>
      </c>
      <c r="D4" s="13">
        <v>0.48</v>
      </c>
      <c r="E4" s="6" t="s">
        <v>33</v>
      </c>
    </row>
    <row r="5" spans="1:5" x14ac:dyDescent="0.3">
      <c r="A5" s="6">
        <v>2011</v>
      </c>
      <c r="B5" s="11">
        <v>27.04</v>
      </c>
      <c r="C5" s="12">
        <v>171379598</v>
      </c>
      <c r="D5" s="13">
        <v>0.55900000000000005</v>
      </c>
      <c r="E5" s="6" t="s">
        <v>33</v>
      </c>
    </row>
    <row r="6" spans="1:5" x14ac:dyDescent="0.3">
      <c r="A6" s="6">
        <v>2012</v>
      </c>
      <c r="B6" s="11">
        <v>28.74</v>
      </c>
      <c r="C6" s="12">
        <v>176200625</v>
      </c>
      <c r="D6" s="13">
        <v>0.53</v>
      </c>
      <c r="E6" s="6" t="s">
        <v>33</v>
      </c>
    </row>
    <row r="7" spans="1:5" x14ac:dyDescent="0.3">
      <c r="A7" s="6">
        <v>2013</v>
      </c>
      <c r="B7" s="11">
        <v>28.93</v>
      </c>
      <c r="C7" s="12">
        <v>181049443</v>
      </c>
      <c r="D7" s="13">
        <v>0.55600000000000005</v>
      </c>
      <c r="E7" s="6" t="s">
        <v>33</v>
      </c>
    </row>
    <row r="8" spans="1:5" x14ac:dyDescent="0.3">
      <c r="A8" s="6">
        <v>2014</v>
      </c>
      <c r="B8" s="11">
        <v>32.28</v>
      </c>
      <c r="C8" s="12">
        <v>185896915</v>
      </c>
      <c r="D8" s="13">
        <v>0.54200000000000004</v>
      </c>
      <c r="E8" s="6" t="s">
        <v>33</v>
      </c>
    </row>
    <row r="9" spans="1:5" x14ac:dyDescent="0.3">
      <c r="A9" s="6">
        <v>2015</v>
      </c>
      <c r="B9" s="11">
        <v>33.17</v>
      </c>
      <c r="C9" s="12">
        <v>190671878</v>
      </c>
      <c r="D9" s="13">
        <v>0.52500000000000002</v>
      </c>
      <c r="E9" s="6" t="s">
        <v>33</v>
      </c>
    </row>
    <row r="10" spans="1:5" x14ac:dyDescent="0.3">
      <c r="A10" s="6">
        <v>2016</v>
      </c>
      <c r="B10" s="11">
        <v>36.54</v>
      </c>
      <c r="C10" s="12">
        <v>195443700</v>
      </c>
      <c r="D10" s="13">
        <v>0.59299999999999997</v>
      </c>
      <c r="E10" s="6" t="s">
        <v>33</v>
      </c>
    </row>
    <row r="11" spans="1:5" x14ac:dyDescent="0.3">
      <c r="A11" s="6">
        <v>2017</v>
      </c>
      <c r="B11" s="11">
        <v>32.24</v>
      </c>
      <c r="C11" s="12">
        <v>200254579</v>
      </c>
      <c r="D11" s="13">
        <v>0.54400000000000004</v>
      </c>
      <c r="E11" s="6" t="s">
        <v>33</v>
      </c>
    </row>
    <row r="12" spans="1:5" x14ac:dyDescent="0.3">
      <c r="A12" s="6">
        <v>2018</v>
      </c>
      <c r="B12" s="11">
        <v>36.71</v>
      </c>
      <c r="C12" s="12">
        <v>204938755</v>
      </c>
      <c r="D12" s="13">
        <v>0.56499999999999995</v>
      </c>
      <c r="E12" s="6" t="s">
        <v>33</v>
      </c>
    </row>
    <row r="13" spans="1:5" x14ac:dyDescent="0.3">
      <c r="A13" s="6">
        <v>2019</v>
      </c>
      <c r="B13" s="11">
        <v>36.46</v>
      </c>
      <c r="C13" s="12">
        <v>209485641</v>
      </c>
      <c r="D13" s="13">
        <v>0.55400000000000005</v>
      </c>
      <c r="E13" s="6" t="s">
        <v>33</v>
      </c>
    </row>
    <row r="14" spans="1:5" x14ac:dyDescent="0.3">
      <c r="A14" s="6">
        <v>2020</v>
      </c>
      <c r="B14" s="11">
        <v>38</v>
      </c>
      <c r="C14" s="12">
        <v>213996181</v>
      </c>
      <c r="D14" s="13">
        <v>0.55400000000000005</v>
      </c>
      <c r="E14" s="6" t="s">
        <v>33</v>
      </c>
    </row>
    <row r="15" spans="1:5" x14ac:dyDescent="0.3">
      <c r="A15" s="6">
        <v>2021</v>
      </c>
      <c r="B15" s="11">
        <v>39.200000000000003</v>
      </c>
      <c r="C15" s="12">
        <v>218529286</v>
      </c>
      <c r="D15" s="13">
        <v>0.59499999999999997</v>
      </c>
      <c r="E15" s="6" t="s">
        <v>33</v>
      </c>
    </row>
    <row r="16" spans="1:5" x14ac:dyDescent="0.3">
      <c r="A16" s="6">
        <v>2022</v>
      </c>
      <c r="B16" s="11">
        <v>38</v>
      </c>
      <c r="C16" s="12">
        <v>223150896</v>
      </c>
      <c r="D16" s="13">
        <v>0.60499999999999998</v>
      </c>
      <c r="E16" s="6" t="s">
        <v>33</v>
      </c>
    </row>
    <row r="17" spans="1:5" x14ac:dyDescent="0.3">
      <c r="A17" s="6">
        <v>2023</v>
      </c>
      <c r="B17" s="11">
        <v>40.92</v>
      </c>
      <c r="C17" s="12">
        <v>227882945</v>
      </c>
      <c r="D17" s="13">
        <v>0.61199999999999999</v>
      </c>
      <c r="E17" s="6" t="s">
        <v>33</v>
      </c>
    </row>
    <row r="18" spans="1:5" x14ac:dyDescent="0.3">
      <c r="A18" s="6">
        <v>2024</v>
      </c>
      <c r="B18" s="11">
        <v>37.56</v>
      </c>
      <c r="C18" s="12">
        <v>232679478</v>
      </c>
      <c r="D18" s="13">
        <v>0.625</v>
      </c>
      <c r="E18" s="6" t="s">
        <v>33</v>
      </c>
    </row>
    <row r="19" spans="1:5" x14ac:dyDescent="0.3">
      <c r="A19" s="6">
        <v>2025</v>
      </c>
      <c r="B19" s="11">
        <v>41.54</v>
      </c>
      <c r="C19" s="12">
        <v>237527782</v>
      </c>
      <c r="E19" s="6" t="s">
        <v>33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
  <sheetViews>
    <sheetView zoomScale="80" zoomScaleNormal="80" workbookViewId="0">
      <selection activeCell="A3" sqref="A3"/>
    </sheetView>
  </sheetViews>
  <sheetFormatPr defaultColWidth="8.6640625" defaultRowHeight="14.4" x14ac:dyDescent="0.3"/>
  <cols>
    <col min="1" max="1" width="10" customWidth="1"/>
    <col min="2" max="2" width="18" customWidth="1"/>
    <col min="3" max="3" width="16" customWidth="1"/>
    <col min="4" max="5" width="18" customWidth="1"/>
    <col min="6" max="6" width="20" customWidth="1"/>
    <col min="7" max="7" width="12" customWidth="1"/>
    <col min="8" max="8" width="18" customWidth="1"/>
    <col min="9" max="9" width="22" customWidth="1"/>
  </cols>
  <sheetData>
    <row r="1" spans="1:9" ht="15.6" x14ac:dyDescent="0.3">
      <c r="A1" s="4" t="s">
        <v>34</v>
      </c>
    </row>
    <row r="2" spans="1:9" x14ac:dyDescent="0.3">
      <c r="A2" s="14" t="s">
        <v>70</v>
      </c>
    </row>
    <row r="4" spans="1:9" ht="26.4" x14ac:dyDescent="0.3">
      <c r="A4" s="5" t="s">
        <v>16</v>
      </c>
      <c r="B4" s="5" t="s">
        <v>29</v>
      </c>
      <c r="C4" s="5" t="s">
        <v>35</v>
      </c>
      <c r="D4" s="5" t="s">
        <v>36</v>
      </c>
      <c r="E4" s="5" t="s">
        <v>37</v>
      </c>
      <c r="F4" s="5" t="s">
        <v>38</v>
      </c>
      <c r="G4" s="5" t="s">
        <v>39</v>
      </c>
      <c r="H4" s="5" t="s">
        <v>40</v>
      </c>
      <c r="I4" s="5" t="s">
        <v>41</v>
      </c>
    </row>
    <row r="5" spans="1:9" x14ac:dyDescent="0.3">
      <c r="A5" s="6">
        <v>2010</v>
      </c>
      <c r="B5" s="15">
        <f>Raw_Ember_WDI!B4</f>
        <v>26.13</v>
      </c>
      <c r="C5" s="16">
        <f>Raw_Ember_WDI!C4</f>
        <v>166642886</v>
      </c>
      <c r="D5" s="17">
        <f t="shared" ref="D5:D20" si="0">B5*1000000000/C5</f>
        <v>156.80237318981622</v>
      </c>
      <c r="G5" s="18">
        <f>Raw_Ember_WDI!D4</f>
        <v>0.48</v>
      </c>
      <c r="H5" s="16">
        <f t="shared" ref="H5:H19" si="1">C5*G5</f>
        <v>79988585.280000001</v>
      </c>
      <c r="I5" s="17">
        <f t="shared" ref="I5:I19" si="2">B5*1000000000/H5</f>
        <v>326.67161081211714</v>
      </c>
    </row>
    <row r="6" spans="1:9" x14ac:dyDescent="0.3">
      <c r="A6" s="6">
        <v>2011</v>
      </c>
      <c r="B6" s="15">
        <f>Raw_Ember_WDI!B5</f>
        <v>27.04</v>
      </c>
      <c r="C6" s="16">
        <f>Raw_Ember_WDI!C5</f>
        <v>171379598</v>
      </c>
      <c r="D6" s="17">
        <f t="shared" si="0"/>
        <v>157.77840720573985</v>
      </c>
      <c r="G6" s="18">
        <f>Raw_Ember_WDI!D5</f>
        <v>0.55900000000000005</v>
      </c>
      <c r="H6" s="16">
        <f t="shared" si="1"/>
        <v>95801195.282000005</v>
      </c>
      <c r="I6" s="17">
        <f t="shared" si="2"/>
        <v>282.25117568110886</v>
      </c>
    </row>
    <row r="7" spans="1:9" x14ac:dyDescent="0.3">
      <c r="A7" s="6">
        <v>2012</v>
      </c>
      <c r="B7" s="15">
        <f>Raw_Ember_WDI!B6</f>
        <v>28.74</v>
      </c>
      <c r="C7" s="16">
        <f>Raw_Ember_WDI!C6</f>
        <v>176200625</v>
      </c>
      <c r="D7" s="17">
        <f t="shared" si="0"/>
        <v>163.10952358994186</v>
      </c>
      <c r="G7" s="18">
        <f>Raw_Ember_WDI!D6</f>
        <v>0.53</v>
      </c>
      <c r="H7" s="16">
        <f t="shared" si="1"/>
        <v>93386331.25</v>
      </c>
      <c r="I7" s="17">
        <f t="shared" si="2"/>
        <v>307.75381809422993</v>
      </c>
    </row>
    <row r="8" spans="1:9" x14ac:dyDescent="0.3">
      <c r="A8" s="6">
        <v>2013</v>
      </c>
      <c r="B8" s="15">
        <f>Raw_Ember_WDI!B7</f>
        <v>28.93</v>
      </c>
      <c r="C8" s="16">
        <f>Raw_Ember_WDI!C7</f>
        <v>181049443</v>
      </c>
      <c r="D8" s="17">
        <f t="shared" si="0"/>
        <v>159.79060482389886</v>
      </c>
      <c r="G8" s="18">
        <f>Raw_Ember_WDI!D7</f>
        <v>0.55600000000000005</v>
      </c>
      <c r="H8" s="16">
        <f t="shared" si="1"/>
        <v>100663490.30800001</v>
      </c>
      <c r="I8" s="17">
        <f t="shared" si="2"/>
        <v>287.39317414370294</v>
      </c>
    </row>
    <row r="9" spans="1:9" x14ac:dyDescent="0.3">
      <c r="A9" s="6">
        <v>2014</v>
      </c>
      <c r="B9" s="15">
        <f>Raw_Ember_WDI!B8</f>
        <v>32.28</v>
      </c>
      <c r="C9" s="16">
        <f>Raw_Ember_WDI!C8</f>
        <v>185896915</v>
      </c>
      <c r="D9" s="17">
        <f t="shared" si="0"/>
        <v>173.6446244952478</v>
      </c>
      <c r="G9" s="18">
        <f>Raw_Ember_WDI!D8</f>
        <v>0.54200000000000004</v>
      </c>
      <c r="H9" s="16">
        <f t="shared" si="1"/>
        <v>100756127.93000001</v>
      </c>
      <c r="I9" s="17">
        <f t="shared" si="2"/>
        <v>320.37753596909187</v>
      </c>
    </row>
    <row r="10" spans="1:9" x14ac:dyDescent="0.3">
      <c r="A10" s="6">
        <v>2015</v>
      </c>
      <c r="B10" s="15">
        <f>Raw_Ember_WDI!B9</f>
        <v>33.17</v>
      </c>
      <c r="C10" s="16">
        <f>Raw_Ember_WDI!C9</f>
        <v>190671878</v>
      </c>
      <c r="D10" s="17">
        <f t="shared" si="0"/>
        <v>173.96377666139105</v>
      </c>
      <c r="G10" s="18">
        <f>Raw_Ember_WDI!D9</f>
        <v>0.52500000000000002</v>
      </c>
      <c r="H10" s="16">
        <f t="shared" si="1"/>
        <v>100102735.95</v>
      </c>
      <c r="I10" s="17">
        <f t="shared" si="2"/>
        <v>331.35957459312579</v>
      </c>
    </row>
    <row r="11" spans="1:9" x14ac:dyDescent="0.3">
      <c r="A11" s="6">
        <v>2016</v>
      </c>
      <c r="B11" s="15">
        <f>Raw_Ember_WDI!B10</f>
        <v>36.54</v>
      </c>
      <c r="C11" s="16">
        <f>Raw_Ember_WDI!C10</f>
        <v>195443700</v>
      </c>
      <c r="D11" s="17">
        <f t="shared" si="0"/>
        <v>186.95921127158357</v>
      </c>
      <c r="G11" s="18">
        <f>Raw_Ember_WDI!D10</f>
        <v>0.59299999999999997</v>
      </c>
      <c r="H11" s="16">
        <f t="shared" si="1"/>
        <v>115898114.09999999</v>
      </c>
      <c r="I11" s="17">
        <f t="shared" si="2"/>
        <v>315.27691614095039</v>
      </c>
    </row>
    <row r="12" spans="1:9" x14ac:dyDescent="0.3">
      <c r="A12" s="6">
        <v>2017</v>
      </c>
      <c r="B12" s="15">
        <f>Raw_Ember_WDI!B11</f>
        <v>32.24</v>
      </c>
      <c r="C12" s="16">
        <f>Raw_Ember_WDI!C11</f>
        <v>200254579</v>
      </c>
      <c r="D12" s="17">
        <f t="shared" si="0"/>
        <v>160.99507018014307</v>
      </c>
      <c r="G12" s="18">
        <f>Raw_Ember_WDI!D11</f>
        <v>0.54400000000000004</v>
      </c>
      <c r="H12" s="16">
        <f t="shared" si="1"/>
        <v>108938490.97600001</v>
      </c>
      <c r="I12" s="17">
        <f t="shared" si="2"/>
        <v>295.9468201840865</v>
      </c>
    </row>
    <row r="13" spans="1:9" x14ac:dyDescent="0.3">
      <c r="A13" s="6">
        <v>2018</v>
      </c>
      <c r="B13" s="15">
        <f>Raw_Ember_WDI!B12</f>
        <v>36.71</v>
      </c>
      <c r="C13" s="16">
        <f>Raw_Ember_WDI!C12</f>
        <v>204938755</v>
      </c>
      <c r="D13" s="17">
        <f t="shared" si="0"/>
        <v>179.12668592136222</v>
      </c>
      <c r="G13" s="18">
        <f>Raw_Ember_WDI!D12</f>
        <v>0.56499999999999995</v>
      </c>
      <c r="H13" s="16">
        <f t="shared" si="1"/>
        <v>115790396.57499999</v>
      </c>
      <c r="I13" s="17">
        <f t="shared" si="2"/>
        <v>317.03838216170305</v>
      </c>
    </row>
    <row r="14" spans="1:9" x14ac:dyDescent="0.3">
      <c r="A14" s="6">
        <v>2019</v>
      </c>
      <c r="B14" s="15">
        <f>Raw_Ember_WDI!B13</f>
        <v>36.46</v>
      </c>
      <c r="C14" s="16">
        <f>Raw_Ember_WDI!C13</f>
        <v>209485641</v>
      </c>
      <c r="D14" s="17">
        <f t="shared" si="0"/>
        <v>174.04534184755889</v>
      </c>
      <c r="E14" s="8">
        <f>Raw_NERC!G6</f>
        <v>33.415779000000001</v>
      </c>
      <c r="F14" s="17">
        <f>IFERROR(E14*1000000000/C14,"")</f>
        <v>159.513458013096</v>
      </c>
      <c r="G14" s="18">
        <f>Raw_Ember_WDI!D13</f>
        <v>0.55400000000000005</v>
      </c>
      <c r="H14" s="16">
        <f t="shared" si="1"/>
        <v>116055045.11400001</v>
      </c>
      <c r="I14" s="17">
        <f t="shared" si="2"/>
        <v>314.16126687284998</v>
      </c>
    </row>
    <row r="15" spans="1:9" x14ac:dyDescent="0.3">
      <c r="A15" s="6">
        <v>2020</v>
      </c>
      <c r="B15" s="15">
        <f>Raw_Ember_WDI!B14</f>
        <v>38</v>
      </c>
      <c r="C15" s="16">
        <f>Raw_Ember_WDI!C14</f>
        <v>213996181</v>
      </c>
      <c r="D15" s="17">
        <f t="shared" si="0"/>
        <v>177.57326239387422</v>
      </c>
      <c r="G15" s="18">
        <f>Raw_Ember_WDI!D14</f>
        <v>0.55400000000000005</v>
      </c>
      <c r="H15" s="16">
        <f t="shared" si="1"/>
        <v>118553884.274</v>
      </c>
      <c r="I15" s="17">
        <f t="shared" si="2"/>
        <v>320.52935450157798</v>
      </c>
    </row>
    <row r="16" spans="1:9" x14ac:dyDescent="0.3">
      <c r="A16" s="6">
        <v>2021</v>
      </c>
      <c r="B16" s="15">
        <f>Raw_Ember_WDI!B15</f>
        <v>39.200000000000003</v>
      </c>
      <c r="C16" s="16">
        <f>Raw_Ember_WDI!C15</f>
        <v>218529286</v>
      </c>
      <c r="D16" s="17">
        <f t="shared" si="0"/>
        <v>179.38099152531893</v>
      </c>
      <c r="G16" s="18">
        <f>Raw_Ember_WDI!D15</f>
        <v>0.59499999999999997</v>
      </c>
      <c r="H16" s="16">
        <f t="shared" si="1"/>
        <v>130024925.16999999</v>
      </c>
      <c r="I16" s="17">
        <f t="shared" si="2"/>
        <v>301.48065802574615</v>
      </c>
    </row>
    <row r="17" spans="1:9" x14ac:dyDescent="0.3">
      <c r="A17" s="6">
        <v>2022</v>
      </c>
      <c r="B17" s="15">
        <f>Raw_Ember_WDI!B16</f>
        <v>38</v>
      </c>
      <c r="C17" s="16">
        <f>Raw_Ember_WDI!C16</f>
        <v>223150896</v>
      </c>
      <c r="D17" s="17">
        <f t="shared" si="0"/>
        <v>170.2883594964369</v>
      </c>
      <c r="E17" s="8">
        <f>Raw_NERC!G9</f>
        <v>34.93488</v>
      </c>
      <c r="F17" s="17">
        <f>IFERROR(E17*1000000000/C17,"")</f>
        <v>156.55272116854957</v>
      </c>
      <c r="G17" s="18">
        <f>Raw_Ember_WDI!D16</f>
        <v>0.60499999999999998</v>
      </c>
      <c r="H17" s="16">
        <f t="shared" si="1"/>
        <v>135006292.07999998</v>
      </c>
      <c r="I17" s="17">
        <f t="shared" si="2"/>
        <v>281.46836280402795</v>
      </c>
    </row>
    <row r="18" spans="1:9" x14ac:dyDescent="0.3">
      <c r="A18" s="6">
        <v>2023</v>
      </c>
      <c r="B18" s="15">
        <f>Raw_Ember_WDI!B17</f>
        <v>40.92</v>
      </c>
      <c r="C18" s="16">
        <f>Raw_Ember_WDI!C17</f>
        <v>227882945</v>
      </c>
      <c r="D18" s="17">
        <f t="shared" si="0"/>
        <v>179.56587317229906</v>
      </c>
      <c r="E18" s="8">
        <f>Raw_NERC!G10</f>
        <v>36.710380000000001</v>
      </c>
      <c r="F18" s="17">
        <f>IFERROR(E18*1000000000/C18,"")</f>
        <v>161.09314367514426</v>
      </c>
      <c r="G18" s="18">
        <f>Raw_Ember_WDI!D17</f>
        <v>0.61199999999999999</v>
      </c>
      <c r="H18" s="16">
        <f t="shared" si="1"/>
        <v>139464362.34</v>
      </c>
      <c r="I18" s="17">
        <f t="shared" si="2"/>
        <v>293.40828949722066</v>
      </c>
    </row>
    <row r="19" spans="1:9" x14ac:dyDescent="0.3">
      <c r="A19" s="6">
        <v>2024</v>
      </c>
      <c r="B19" s="15">
        <f>Raw_Ember_WDI!B18</f>
        <v>37.56</v>
      </c>
      <c r="C19" s="16">
        <f>Raw_Ember_WDI!C18</f>
        <v>232679478</v>
      </c>
      <c r="D19" s="17">
        <f t="shared" si="0"/>
        <v>161.42377627304114</v>
      </c>
      <c r="E19" s="8">
        <f>Raw_NERC!G11</f>
        <v>37.093699999999998</v>
      </c>
      <c r="F19" s="17">
        <f>IFERROR(E19*1000000000/C19,"")</f>
        <v>159.41973189401776</v>
      </c>
      <c r="G19" s="18">
        <f>Raw_Ember_WDI!D18</f>
        <v>0.625</v>
      </c>
      <c r="H19" s="16">
        <f t="shared" si="1"/>
        <v>145424673.75</v>
      </c>
      <c r="I19" s="17">
        <f t="shared" si="2"/>
        <v>258.27804203686583</v>
      </c>
    </row>
    <row r="20" spans="1:9" x14ac:dyDescent="0.3">
      <c r="A20" s="6">
        <v>2025</v>
      </c>
      <c r="B20" s="15">
        <f>Raw_Ember_WDI!B19</f>
        <v>41.54</v>
      </c>
      <c r="C20" s="16">
        <f>Raw_Ember_WDI!C19</f>
        <v>237527782</v>
      </c>
      <c r="D20" s="17">
        <f t="shared" si="0"/>
        <v>174.88480568559345</v>
      </c>
      <c r="E20" s="8">
        <f>Raw_NERC!G12</f>
        <v>39.193930000000002</v>
      </c>
      <c r="F20" s="17">
        <f>IFERROR(E20*1000000000/C20,"")</f>
        <v>165.00777159616638</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8"/>
  <sheetViews>
    <sheetView zoomScale="90" zoomScaleNormal="90" workbookViewId="0"/>
  </sheetViews>
  <sheetFormatPr defaultColWidth="8.6640625" defaultRowHeight="14.4" x14ac:dyDescent="0.3"/>
  <cols>
    <col min="1" max="2" width="10" customWidth="1"/>
    <col min="3" max="3" width="8" customWidth="1"/>
    <col min="4" max="5" width="20" customWidth="1"/>
    <col min="6" max="6" width="22" customWidth="1"/>
    <col min="7" max="7" width="26" customWidth="1"/>
  </cols>
  <sheetData>
    <row r="1" spans="1:7" ht="15.6" x14ac:dyDescent="0.3">
      <c r="A1" s="4" t="s">
        <v>42</v>
      </c>
    </row>
    <row r="2" spans="1:7" x14ac:dyDescent="0.3">
      <c r="A2" s="14" t="s">
        <v>43</v>
      </c>
    </row>
    <row r="4" spans="1:7" ht="26.4" x14ac:dyDescent="0.3">
      <c r="A4" s="5" t="s">
        <v>44</v>
      </c>
      <c r="B4" s="5" t="s">
        <v>45</v>
      </c>
      <c r="C4" s="5" t="s">
        <v>46</v>
      </c>
      <c r="D4" s="5" t="s">
        <v>47</v>
      </c>
      <c r="E4" s="5" t="s">
        <v>48</v>
      </c>
      <c r="F4" s="5" t="s">
        <v>49</v>
      </c>
      <c r="G4" s="5" t="s">
        <v>50</v>
      </c>
    </row>
    <row r="5" spans="1:7" x14ac:dyDescent="0.3">
      <c r="A5" s="6">
        <v>2010</v>
      </c>
      <c r="B5" s="6">
        <v>2025</v>
      </c>
      <c r="C5" s="6">
        <f>B5-A5</f>
        <v>15</v>
      </c>
      <c r="D5" s="19">
        <f>(Per_Capita!B20/Per_Capita!B5)^(1/C5)-1</f>
        <v>3.1387361947803782E-2</v>
      </c>
      <c r="E5" s="19">
        <f>(Per_Capita!C20/Per_Capita!C5)^(1/C5)-1</f>
        <v>2.3910136245307356E-2</v>
      </c>
      <c r="F5" s="19">
        <f>(Per_Capita!D20/Per_Capita!D5)^(1/C5)-1</f>
        <v>7.3026190852212292E-3</v>
      </c>
      <c r="G5" s="19">
        <f>IFERROR(LN(1+E5)/LN(1+D5),"")</f>
        <v>0.7645649714670586</v>
      </c>
    </row>
    <row r="6" spans="1:7" x14ac:dyDescent="0.3">
      <c r="A6" s="6">
        <v>2013</v>
      </c>
      <c r="B6" s="6">
        <v>2025</v>
      </c>
      <c r="C6" s="6">
        <f>B6-A6</f>
        <v>12</v>
      </c>
      <c r="D6" s="19">
        <f>(Per_Capita!B20/Per_Capita!B8)^(1/C6)-1</f>
        <v>3.0607198466928942E-2</v>
      </c>
      <c r="E6" s="19">
        <f>(Per_Capita!C20/Per_Capita!C8)^(1/C6)-1</f>
        <v>2.2884116872819771E-2</v>
      </c>
      <c r="F6" s="19">
        <f>(Per_Capita!D20/Per_Capita!D8)^(1/C6)-1</f>
        <v>7.5502996543932444E-3</v>
      </c>
      <c r="G6" s="19">
        <f>IFERROR(LN(1+E6)/LN(1+D6),"")</f>
        <v>0.7505007472051497</v>
      </c>
    </row>
    <row r="7" spans="1:7" x14ac:dyDescent="0.3">
      <c r="A7" s="6">
        <v>2015</v>
      </c>
      <c r="B7" s="6">
        <v>2025</v>
      </c>
      <c r="C7" s="6">
        <f>B7-A7</f>
        <v>10</v>
      </c>
      <c r="D7" s="19">
        <f>(Per_Capita!B20/Per_Capita!B10)^(1/C7)-1</f>
        <v>2.2756155665969002E-2</v>
      </c>
      <c r="E7" s="19">
        <f>(Per_Capita!C20/Per_Capita!C10)^(1/C7)-1</f>
        <v>2.221624139963474E-2</v>
      </c>
      <c r="F7" s="19">
        <f>(Per_Capita!D20/Per_Capita!D10)^(1/C7)-1</f>
        <v>5.2818008995347832E-4</v>
      </c>
      <c r="G7" s="19">
        <f>IFERROR(LN(1+E7)/LN(1+D7),"")</f>
        <v>0.97653267027236379</v>
      </c>
    </row>
    <row r="8" spans="1:7" x14ac:dyDescent="0.3">
      <c r="A8" s="6">
        <v>2017</v>
      </c>
      <c r="B8" s="6">
        <v>2025</v>
      </c>
      <c r="C8" s="6">
        <f>B8-A8</f>
        <v>8</v>
      </c>
      <c r="D8" s="19">
        <f>(Per_Capita!B20/Per_Capita!B12)^(1/C8)-1</f>
        <v>3.2188300975974027E-2</v>
      </c>
      <c r="E8" s="19">
        <f>(Per_Capita!C20/Per_Capita!C12)^(1/C8)-1</f>
        <v>2.1566151821799995E-2</v>
      </c>
      <c r="F8" s="19">
        <f>(Per_Capita!D20/Per_Capita!D12)^(1/C8)-1</f>
        <v>1.0397906327682449E-2</v>
      </c>
      <c r="G8" s="19">
        <f>IFERROR(LN(1+E8)/LN(1+D8),"")</f>
        <v>0.67348937330686087</v>
      </c>
    </row>
    <row r="9" spans="1:7" x14ac:dyDescent="0.3">
      <c r="A9" s="6">
        <v>2014</v>
      </c>
      <c r="B9" s="6">
        <v>2024</v>
      </c>
      <c r="C9" s="6">
        <f>B9-A9</f>
        <v>10</v>
      </c>
      <c r="D9" s="19">
        <f>(Per_Capita!B19/Per_Capita!B9)^(1/C9)-1</f>
        <v>1.5264511589292651E-2</v>
      </c>
      <c r="E9" s="19">
        <f>(Per_Capita!C19/Per_Capita!C9)^(1/C9)-1</f>
        <v>2.2700786218427194E-2</v>
      </c>
      <c r="F9" s="19">
        <f>(Per_Capita!D19/Per_Capita!D9)^(1/C9)-1</f>
        <v>-7.2712123910955162E-3</v>
      </c>
      <c r="G9" s="19">
        <f>IFERROR(LN(1+E9)/LN(1+D9),"")</f>
        <v>1.4817274582638484</v>
      </c>
    </row>
    <row r="11" spans="1:7" x14ac:dyDescent="0.3">
      <c r="A11" s="9" t="s">
        <v>51</v>
      </c>
    </row>
    <row r="12" spans="1:7" x14ac:dyDescent="0.3">
      <c r="A12" s="10" t="s">
        <v>44</v>
      </c>
      <c r="B12" s="10" t="s">
        <v>45</v>
      </c>
      <c r="C12" s="10" t="s">
        <v>46</v>
      </c>
      <c r="D12" s="10" t="s">
        <v>47</v>
      </c>
      <c r="E12" s="10" t="s">
        <v>48</v>
      </c>
      <c r="F12" s="10" t="s">
        <v>49</v>
      </c>
      <c r="G12" s="10"/>
    </row>
    <row r="13" spans="1:7" x14ac:dyDescent="0.3">
      <c r="A13" s="6">
        <v>2022</v>
      </c>
      <c r="B13" s="6">
        <v>2025</v>
      </c>
      <c r="C13" s="6">
        <f>B13-A13</f>
        <v>3</v>
      </c>
      <c r="D13" s="19">
        <f>(Per_Capita!E20/Per_Capita!E17)^(1/C13)-1</f>
        <v>3.9090048652876686E-2</v>
      </c>
      <c r="E13" s="19">
        <f>(Per_Capita!C20/Per_Capita!C17)^(1/C13)-1</f>
        <v>2.1030211709132773E-2</v>
      </c>
      <c r="F13" s="19">
        <f>(Per_Capita!F20/Per_Capita!F17)^(1/C13)-1</f>
        <v>1.7687857554687714E-2</v>
      </c>
    </row>
    <row r="14" spans="1:7" x14ac:dyDescent="0.3">
      <c r="A14" s="6">
        <v>2023</v>
      </c>
      <c r="B14" s="6">
        <v>2025</v>
      </c>
      <c r="C14" s="6">
        <f>B14-A14</f>
        <v>2</v>
      </c>
      <c r="D14" s="19">
        <f>(Per_Capita!E20/Per_Capita!E18)^(1/C14)-1</f>
        <v>3.3272726681924158E-2</v>
      </c>
      <c r="E14" s="19">
        <f>(Per_Capita!C20/Per_Capita!C18)^(1/C14)-1</f>
        <v>2.0942528053947917E-2</v>
      </c>
      <c r="F14" s="19">
        <f>(Per_Capita!F20/Per_Capita!F18)^(1/C14)-1</f>
        <v>1.2077270060910639E-2</v>
      </c>
    </row>
    <row r="16" spans="1:7" x14ac:dyDescent="0.3">
      <c r="A16" s="9" t="s">
        <v>52</v>
      </c>
    </row>
    <row r="17" spans="1:7" ht="26.4" x14ac:dyDescent="0.3">
      <c r="A17" s="5" t="s">
        <v>44</v>
      </c>
      <c r="B17" s="5" t="s">
        <v>45</v>
      </c>
      <c r="C17" s="5" t="s">
        <v>46</v>
      </c>
      <c r="D17" s="5" t="s">
        <v>47</v>
      </c>
      <c r="E17" s="5" t="s">
        <v>53</v>
      </c>
      <c r="F17" s="5" t="s">
        <v>54</v>
      </c>
      <c r="G17" s="5" t="s">
        <v>55</v>
      </c>
    </row>
    <row r="18" spans="1:7" x14ac:dyDescent="0.3">
      <c r="A18" s="6">
        <v>2010</v>
      </c>
      <c r="B18" s="6">
        <v>2024</v>
      </c>
      <c r="C18" s="6">
        <f>B18-A18</f>
        <v>14</v>
      </c>
      <c r="D18" s="19">
        <f>(Per_Capita!B19/Per_Capita!B5)^(1/C18)-1</f>
        <v>2.6257054014058978E-2</v>
      </c>
      <c r="E18" s="19">
        <f>(Per_Capita!H19/Per_Capita!H5)^(1/C18)-1</f>
        <v>4.3622845097588625E-2</v>
      </c>
      <c r="F18" s="19">
        <f>(Per_Capita!I19/Per_Capita!I5)^(1/C18)-1</f>
        <v>-1.6639910830915094E-2</v>
      </c>
      <c r="G18" s="19">
        <f>(Per_Capita!G19/Per_Capita!G5)^(1/C18)-1</f>
        <v>1.9033553781640844E-2</v>
      </c>
    </row>
    <row r="19" spans="1:7" x14ac:dyDescent="0.3">
      <c r="A19" s="6">
        <v>2013</v>
      </c>
      <c r="B19" s="6">
        <v>2024</v>
      </c>
      <c r="C19" s="6">
        <f>B19-A19</f>
        <v>11</v>
      </c>
      <c r="D19" s="19">
        <f>(Per_Capita!B19/Per_Capita!B8)^(1/C19)-1</f>
        <v>2.4016639442736576E-2</v>
      </c>
      <c r="E19" s="19">
        <f>(Per_Capita!H19/Per_Capita!H8)^(1/C19)-1</f>
        <v>3.4008698274330618E-2</v>
      </c>
      <c r="F19" s="19">
        <f>(Per_Capita!I19/Per_Capita!I8)^(1/C19)-1</f>
        <v>-9.6634185459656408E-3</v>
      </c>
      <c r="G19" s="19">
        <f>(Per_Capita!G19/Per_Capita!G8)^(1/C19)-1</f>
        <v>1.0691601522407446E-2</v>
      </c>
    </row>
    <row r="20" spans="1:7" x14ac:dyDescent="0.3">
      <c r="A20" s="6">
        <v>2015</v>
      </c>
      <c r="B20" s="6">
        <v>2024</v>
      </c>
      <c r="C20" s="6">
        <f>B20-A20</f>
        <v>9</v>
      </c>
      <c r="D20" s="19">
        <f>(Per_Capita!B19/Per_Capita!B10)^(1/C20)-1</f>
        <v>1.390622678385145E-2</v>
      </c>
      <c r="E20" s="19">
        <f>(Per_Capita!H19/Per_Capita!H10)^(1/C20)-1</f>
        <v>4.2368671347025932E-2</v>
      </c>
      <c r="F20" s="19">
        <f>(Per_Capita!I19/Per_Capita!I10)^(1/C20)-1</f>
        <v>-2.7305544905137369E-2</v>
      </c>
      <c r="G20" s="19">
        <f>(Per_Capita!G19/Per_Capita!G10)^(1/C20)-1</f>
        <v>1.956146499905298E-2</v>
      </c>
    </row>
    <row r="21" spans="1:7" x14ac:dyDescent="0.3">
      <c r="A21" s="6">
        <v>2017</v>
      </c>
      <c r="B21" s="6">
        <v>2024</v>
      </c>
      <c r="C21" s="6">
        <f>B21-A21</f>
        <v>7</v>
      </c>
      <c r="D21" s="19">
        <f>(Per_Capita!B19/Per_Capita!B12)^(1/C21)-1</f>
        <v>2.2058590637151321E-2</v>
      </c>
      <c r="E21" s="19">
        <f>(Per_Capita!H19/Per_Capita!H12)^(1/C21)-1</f>
        <v>4.213118460616494E-2</v>
      </c>
      <c r="F21" s="19">
        <f>(Per_Capita!I19/Per_Capita!I12)^(1/C21)-1</f>
        <v>-1.9261100968396283E-2</v>
      </c>
      <c r="G21" s="19">
        <f>(Per_Capita!G19/Per_Capita!G12)^(1/C21)-1</f>
        <v>2.0026813501476282E-2</v>
      </c>
    </row>
    <row r="22" spans="1:7" x14ac:dyDescent="0.3">
      <c r="A22" s="6">
        <v>2010</v>
      </c>
      <c r="B22" s="6">
        <v>2023</v>
      </c>
      <c r="C22" s="6">
        <f>B22-A22</f>
        <v>13</v>
      </c>
      <c r="D22" s="19">
        <f>(Per_Capita!B18/Per_Capita!B5)^(1/C22)-1</f>
        <v>3.5104804169225012E-2</v>
      </c>
      <c r="E22" s="19">
        <f>(Per_Capita!H18/Per_Capita!H5)^(1/C22)-1</f>
        <v>4.3691005517541237E-2</v>
      </c>
      <c r="F22" s="19">
        <f>(Per_Capita!I18/Per_Capita!I5)^(1/C22)-1</f>
        <v>-8.2267656834492664E-3</v>
      </c>
      <c r="G22" s="19">
        <f>(Per_Capita!G18/Per_Capita!G5)^(1/C22)-1</f>
        <v>1.8863884290202249E-2</v>
      </c>
    </row>
    <row r="25" spans="1:7" x14ac:dyDescent="0.3">
      <c r="A25" s="9" t="s">
        <v>56</v>
      </c>
    </row>
    <row r="26" spans="1:7" ht="79.2" x14ac:dyDescent="0.3">
      <c r="A26" s="6" t="s">
        <v>57</v>
      </c>
      <c r="D26" s="20">
        <f>D5</f>
        <v>3.1387361947803782E-2</v>
      </c>
      <c r="F26" s="2" t="s">
        <v>58</v>
      </c>
    </row>
    <row r="27" spans="1:7" x14ac:dyDescent="0.3">
      <c r="A27" s="6" t="s">
        <v>59</v>
      </c>
      <c r="D27" s="20">
        <f>MIN(D5:D9)</f>
        <v>1.5264511589292651E-2</v>
      </c>
      <c r="F27" s="6" t="s">
        <v>60</v>
      </c>
    </row>
    <row r="28" spans="1:7" x14ac:dyDescent="0.3">
      <c r="A28" s="6" t="s">
        <v>61</v>
      </c>
      <c r="D28" s="20">
        <f>MAX(D5:D9)</f>
        <v>3.2188300975974027E-2</v>
      </c>
      <c r="F28" s="6" t="s">
        <v>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Raw_NERC</vt:lpstr>
      <vt:lpstr>Raw_Ember_WDI</vt:lpstr>
      <vt:lpstr>Per_Capita</vt:lpstr>
      <vt:lpstr>Decomposition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1</cp:revision>
  <dcterms:created xsi:type="dcterms:W3CDTF">2026-08-16T07:53:59Z</dcterms:created>
  <dcterms:modified xsi:type="dcterms:W3CDTF">2026-08-16T08:20:39Z</dcterms:modified>
  <dc:language>en-US</dc:language>
</cp:coreProperties>
</file>
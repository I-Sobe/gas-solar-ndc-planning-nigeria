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MSc\AUST\Thesis\thesis-repo\thesis-code\data\gas\processed\"/>
    </mc:Choice>
  </mc:AlternateContent>
  <xr:revisionPtr revIDLastSave="0" documentId="13_ncr:1_{8ABAD71C-76B0-43A7-AF04-6A9B6BC555B4}" xr6:coauthVersionLast="47" xr6:coauthVersionMax="47" xr10:uidLastSave="{00000000-0000-0000-0000-000000000000}"/>
  <bookViews>
    <workbookView xWindow="10980" yWindow="156" windowWidth="11724" windowHeight="12228" xr2:uid="{92C16D02-A4AD-4680-A825-9F62DC52AD19}"/>
  </bookViews>
  <sheets>
    <sheet name="Sheet2" sheetId="2" r:id="rId1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" l="1"/>
  <c r="D5" i="2"/>
  <c r="D4" i="2"/>
  <c r="D3" i="2"/>
  <c r="D2" i="2"/>
</calcChain>
</file>

<file path=xl/sharedStrings.xml><?xml version="1.0" encoding="utf-8"?>
<sst xmlns="http://schemas.openxmlformats.org/spreadsheetml/2006/main" count="19" uniqueCount="17">
  <si>
    <t>Q1</t>
  </si>
  <si>
    <t>Q2</t>
  </si>
  <si>
    <t>Q3</t>
  </si>
  <si>
    <t>Year</t>
  </si>
  <si>
    <t>Period</t>
  </si>
  <si>
    <t>Electricity_Generated_gwh</t>
  </si>
  <si>
    <t>Source_document</t>
  </si>
  <si>
    <t>Source_section</t>
  </si>
  <si>
    <t>notes</t>
  </si>
  <si>
    <t>https://nerc.gov.ng/wp-content/uploads/2025/10/2025_Q2-Report.pdf</t>
  </si>
  <si>
    <t>https://nerc.gov.ng/wp-content/uploads/2025/07/2025_Q1_Report.pdf</t>
  </si>
  <si>
    <t>https://nerc.gov.ng/wp-content/uploads/2026/01/2025_Q3-Report.pdf</t>
  </si>
  <si>
    <t>2.1.3</t>
  </si>
  <si>
    <t>Thermal_generation_gwh</t>
  </si>
  <si>
    <t>Q4</t>
  </si>
  <si>
    <t>As at 2025/Q4, Nigeria has 28 power plants supplying to national grid. Consisting of 5 Hydro, 2 Steam, 19 Open Cycle Gas Turbines, 2 combined Cycle Gas Turbine</t>
  </si>
  <si>
    <t>phase 5 item: Combined physical-parameter envelope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</si>
</sst>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nerc.gov.ng/wp-content/uploads/2026/01/2025_Q3-Report.pdf" TargetMode="External"/><Relationship Id="rId2" Type="http://schemas.openxmlformats.org/officeDocument/2006/relationships/hyperlink" Target="https://nerc.gov.ng/wp-content/uploads/2025/07/2025_Q1_Report.pdf" TargetMode="External"/><Relationship Id="rId1" Type="http://schemas.openxmlformats.org/officeDocument/2006/relationships/hyperlink" Target="https://nerc.gov.ng/wp-content/uploads/2025/10/2025_Q2-Re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7CE26-BF7B-4AC2-9CB5-9D5300B2B5D5}">
  <dimension ref="A1:G15"/>
  <sheetViews>
    <sheetView tabSelected="1" workbookViewId="0">
      <selection activeCell="A16" sqref="A16"/>
    </sheetView>
  </sheetViews>
  <sheetFormatPr defaultRowHeight="14.4" x14ac:dyDescent="0.3"/>
  <cols>
    <col min="3" max="3" width="23.21875" bestFit="1" customWidth="1"/>
    <col min="4" max="4" width="23.21875" customWidth="1"/>
    <col min="5" max="5" width="60.44140625" bestFit="1" customWidth="1"/>
    <col min="6" max="6" width="13.5546875" bestFit="1" customWidth="1"/>
  </cols>
  <sheetData>
    <row r="1" spans="1:7" x14ac:dyDescent="0.3">
      <c r="A1" s="1" t="s">
        <v>3</v>
      </c>
      <c r="B1" t="s">
        <v>4</v>
      </c>
      <c r="C1" t="s">
        <v>5</v>
      </c>
      <c r="D1" t="s">
        <v>13</v>
      </c>
      <c r="E1" t="s">
        <v>6</v>
      </c>
      <c r="F1" t="s">
        <v>7</v>
      </c>
      <c r="G1" t="s">
        <v>8</v>
      </c>
    </row>
    <row r="2" spans="1:7" x14ac:dyDescent="0.3">
      <c r="A2">
        <v>2025</v>
      </c>
      <c r="B2" t="s">
        <v>0</v>
      </c>
      <c r="C2">
        <v>10304.469999999999</v>
      </c>
      <c r="D2">
        <f>C2-(29.91% * C2)</f>
        <v>7222.4030229999998</v>
      </c>
      <c r="E2" s="2" t="s">
        <v>10</v>
      </c>
      <c r="F2" t="s">
        <v>12</v>
      </c>
    </row>
    <row r="3" spans="1:7" x14ac:dyDescent="0.3">
      <c r="B3" t="s">
        <v>1</v>
      </c>
      <c r="C3">
        <v>9830.31</v>
      </c>
      <c r="D3">
        <f>C3-(30.19%*C3)</f>
        <v>6862.5394109999997</v>
      </c>
      <c r="E3" s="2" t="s">
        <v>9</v>
      </c>
      <c r="F3" t="s">
        <v>12</v>
      </c>
    </row>
    <row r="4" spans="1:7" x14ac:dyDescent="0.3">
      <c r="B4" t="s">
        <v>2</v>
      </c>
      <c r="C4">
        <v>9227.56</v>
      </c>
      <c r="D4">
        <f>C4-(32.43%*C4)</f>
        <v>6235.0622920000005</v>
      </c>
      <c r="E4" s="2" t="s">
        <v>11</v>
      </c>
      <c r="F4" t="s">
        <v>12</v>
      </c>
    </row>
    <row r="5" spans="1:7" x14ac:dyDescent="0.3">
      <c r="B5" t="s">
        <v>14</v>
      </c>
      <c r="C5">
        <v>9831.52</v>
      </c>
      <c r="D5">
        <f>C5-(38.31%*C5)</f>
        <v>6065.0646880000004</v>
      </c>
    </row>
    <row r="6" spans="1:7" x14ac:dyDescent="0.3">
      <c r="D6">
        <f>SUM(D2:D5)</f>
        <v>26385.069413999998</v>
      </c>
    </row>
    <row r="7" spans="1:7" x14ac:dyDescent="0.3">
      <c r="G7" t="s">
        <v>15</v>
      </c>
    </row>
    <row r="15" spans="1:7" x14ac:dyDescent="0.3">
      <c r="A15" t="s">
        <v>16</v>
      </c>
    </row>
  </sheetData>
  <hyperlinks>
    <hyperlink ref="E3" r:id="rId1" xr:uid="{8002BB33-5BA9-4B62-8D62-1E62F56AF786}"/>
    <hyperlink ref="E2" r:id="rId2" xr:uid="{4F0D24BD-E0AA-4754-9268-DDB62AE18960}"/>
    <hyperlink ref="E4" r:id="rId3" xr:uid="{AF8468D1-AFD6-43EE-9457-B9F2B8E9A7B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Sobe-Olisa Nwangene</dc:creator>
  <cp:lastModifiedBy>Sobe-Olisa Nwangene</cp:lastModifiedBy>
  <dcterms:created xsi:type="dcterms:W3CDTF">2026-01-30T22:17:17Z</dcterms:created>
  <dcterms:modified xsi:type="dcterms:W3CDTF">2026-08-11T15:23:06Z</dcterms:modified>
</cp:coreProperties>
</file>
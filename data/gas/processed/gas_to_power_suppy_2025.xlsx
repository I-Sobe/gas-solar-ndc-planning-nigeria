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Sc\AUST\Thesis\thesis-repo\thesis-code\data\gas\processed\"/>
    </mc:Choice>
  </mc:AlternateContent>
  <xr:revisionPtr revIDLastSave="0" documentId="8_{DA657B2D-8719-4859-A5EB-180FC91CC3A2}" xr6:coauthVersionLast="47" xr6:coauthVersionMax="47" xr10:uidLastSave="{00000000-0000-0000-0000-000000000000}"/>
  <bookViews>
    <workbookView xWindow="7668" yWindow="240" windowWidth="12012" windowHeight="12132" xr2:uid="{9199902A-5607-41BE-AC20-69AEC79D73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<sst xmlns="http://schemas.openxmlformats.org/spreadsheetml/2006/main" count="13" uniqueCount="13">
  <si>
    <t>Total Gas Production</t>
  </si>
  <si>
    <t>Export Sales (MMscf)</t>
  </si>
  <si>
    <t>Domestic Sales (MMscf)</t>
  </si>
  <si>
    <t>Gas-to-power (MMscf)</t>
  </si>
  <si>
    <t>Month</t>
  </si>
  <si>
    <t>January</t>
  </si>
  <si>
    <t>Feburary</t>
  </si>
  <si>
    <t>March</t>
  </si>
  <si>
    <t>April</t>
  </si>
  <si>
    <t>May</t>
  </si>
  <si>
    <t>June</t>
  </si>
  <si>
    <t>July</t>
  </si>
  <si>
    <t>Gas-to-power (MMscf/d)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</si>
</sst>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445D-5952-4FBE-ADB2-58341F561AF9}">
  <dimension ref="A1:F13"/>
  <sheetViews>
    <sheetView tabSelected="1" zoomScale="80" zoomScaleNormal="80" workbookViewId="0">
      <selection activeCell="F8" sqref="F8"/>
    </sheetView>
  </sheetViews>
  <sheetFormatPr defaultRowHeight="14.4" x14ac:dyDescent="0.3"/>
  <cols>
    <col min="1" max="1" width="12.109375" customWidth="1"/>
    <col min="2" max="2" width="18.33203125" bestFit="1" customWidth="1"/>
    <col min="3" max="3" width="20.6640625" bestFit="1" customWidth="1"/>
    <col min="4" max="4" width="22.109375" bestFit="1" customWidth="1"/>
    <col min="5" max="6" width="23" bestFit="1" customWidth="1"/>
  </cols>
  <sheetData>
    <row r="1" spans="1:6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3</v>
      </c>
    </row>
    <row r="2" spans="1:6" x14ac:dyDescent="0.3">
      <c r="A2" t="s">
        <v>5</v>
      </c>
      <c r="B2" s="2">
        <v>236315.14</v>
      </c>
      <c r="C2" s="2">
        <v>83476.39</v>
      </c>
      <c r="D2" s="2">
        <v>64206.09</v>
      </c>
      <c r="E2" s="2">
        <v>780.23</v>
      </c>
      <c r="F2" s="3">
        <f>E2*31</f>
        <v>24187.13</v>
      </c>
    </row>
    <row r="3" spans="1:6" x14ac:dyDescent="0.3">
      <c r="A3" t="s">
        <v>6</v>
      </c>
      <c r="B3" s="2">
        <v>199681.23</v>
      </c>
      <c r="C3" s="2">
        <v>58985.16</v>
      </c>
      <c r="D3" s="2">
        <v>58473.65</v>
      </c>
      <c r="E3" s="2">
        <v>849.37</v>
      </c>
      <c r="F3" s="3">
        <f>E3*28</f>
        <v>23782.36</v>
      </c>
    </row>
    <row r="4" spans="1:6" x14ac:dyDescent="0.3">
      <c r="A4" t="s">
        <v>7</v>
      </c>
      <c r="B4" s="2">
        <v>231277.56</v>
      </c>
      <c r="C4" s="2">
        <v>81524.33</v>
      </c>
      <c r="D4" s="2">
        <v>64303.75</v>
      </c>
      <c r="E4" s="2">
        <v>886.83</v>
      </c>
      <c r="F4" s="3">
        <f>E4*31</f>
        <v>27491.73</v>
      </c>
    </row>
    <row r="5" spans="1:6" x14ac:dyDescent="0.3">
      <c r="A5" t="s">
        <v>8</v>
      </c>
      <c r="B5" s="2">
        <v>232984.33</v>
      </c>
      <c r="C5" s="2">
        <v>77036.649999999994</v>
      </c>
      <c r="D5" s="2">
        <v>70442.91</v>
      </c>
      <c r="E5" s="2">
        <v>886.7</v>
      </c>
      <c r="F5" s="3">
        <f>E5*30</f>
        <v>26601</v>
      </c>
    </row>
    <row r="6" spans="1:6" x14ac:dyDescent="0.3">
      <c r="A6" t="s">
        <v>9</v>
      </c>
      <c r="B6" s="2">
        <v>244442.16</v>
      </c>
      <c r="C6" s="2">
        <v>80337.02</v>
      </c>
      <c r="D6" s="2">
        <v>72966.259999999995</v>
      </c>
      <c r="E6" s="2">
        <v>837.64</v>
      </c>
      <c r="F6" s="3">
        <f>E6*31</f>
        <v>25966.84</v>
      </c>
    </row>
    <row r="7" spans="1:6" x14ac:dyDescent="0.3">
      <c r="A7" t="s">
        <v>10</v>
      </c>
      <c r="B7" s="2">
        <v>238955.86</v>
      </c>
      <c r="C7" s="2">
        <v>78540.78</v>
      </c>
      <c r="D7" s="2">
        <v>69443.16</v>
      </c>
      <c r="E7" s="2">
        <v>862.86</v>
      </c>
      <c r="F7" s="3">
        <f>E7*30</f>
        <v>25885.8</v>
      </c>
    </row>
    <row r="8" spans="1:6" x14ac:dyDescent="0.3">
      <c r="A8" t="s">
        <v>11</v>
      </c>
      <c r="B8" s="2">
        <v>250880.54</v>
      </c>
      <c r="C8" s="2">
        <v>90337.36</v>
      </c>
      <c r="D8" s="2">
        <v>70620.899999999994</v>
      </c>
      <c r="E8" s="2">
        <v>833.86</v>
      </c>
      <c r="F8" s="3">
        <f>E8*31</f>
        <v>25849.66</v>
      </c>
    </row>
    <row r="9" spans="1:6" x14ac:dyDescent="0.3">
      <c r="B9" s="2"/>
      <c r="C9" s="2"/>
      <c r="D9" s="2"/>
    </row>
    <row r="10" spans="1:6" x14ac:dyDescent="0.3">
      <c r="B10" s="2"/>
      <c r="C10" s="2"/>
      <c r="D10" s="2"/>
    </row>
    <row r="11" spans="1:6" x14ac:dyDescent="0.3">
      <c r="B11" s="2"/>
      <c r="C11" s="2"/>
      <c r="D11" s="2"/>
    </row>
    <row r="12" spans="1:6" x14ac:dyDescent="0.3">
      <c r="B12" s="2"/>
      <c r="C12" s="2"/>
      <c r="D12" s="2"/>
    </row>
    <row r="13" spans="1:6" x14ac:dyDescent="0.3"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Sobe-Olisa Nwangene</dc:creator>
  <cp:lastModifiedBy>Sobe-Olisa Nwangene</cp:lastModifiedBy>
  <dcterms:created xsi:type="dcterms:W3CDTF">2026-01-30T07:18:55Z</dcterms:created>
  <dcterms:modified xsi:type="dcterms:W3CDTF">2026-01-30T22:29:13Z</dcterms:modified>
</cp:coreProperties>
</file>
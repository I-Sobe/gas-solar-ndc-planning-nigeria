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Sc\AUST\Thesis\thesis-repo\thesis-code\data\gas\processed\"/>
    </mc:Choice>
  </mc:AlternateContent>
  <xr:revisionPtr revIDLastSave="0" documentId="13_ncr:1_{B5E73703-E76D-499C-BFC0-D4CF7C6C378E}" xr6:coauthVersionLast="47" xr6:coauthVersionMax="47" xr10:uidLastSave="{00000000-0000-0000-0000-000000000000}"/>
  <bookViews>
    <workbookView xWindow="11520" yWindow="0" windowWidth="11520" windowHeight="12360" xr2:uid="{41EBFF8F-819B-4B9E-BE44-3162811BFB4A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G2" i="1"/>
  <c r="F2" i="1"/>
</calcChain>
</file>

<file path=xl/sharedStrings.xml><?xml version="1.0" encoding="utf-8"?>
<sst xmlns="http://schemas.openxmlformats.org/spreadsheetml/2006/main" count="11" uniqueCount="11">
  <si>
    <t>Period</t>
  </si>
  <si>
    <t>2025 (Q1-Q3)</t>
  </si>
  <si>
    <t>gas_to_power_mmscf</t>
  </si>
  <si>
    <t>thermal_generation_gwh</t>
  </si>
  <si>
    <t>implied_efficiency</t>
  </si>
  <si>
    <t>notes</t>
  </si>
  <si>
    <t>Total Gas Energy (BTU)</t>
  </si>
  <si>
    <t>Thermal generation inferred from ‘energy billed’ table; total generation includes hydro and is excluded.” 1kwh = 3412BTU</t>
  </si>
  <si>
    <t>E.Energy Output</t>
  </si>
  <si>
    <t>Nigeria Operates (as at 2025/Q4) 2 steam plants, 19 OCGT and 2 CCGT)</t>
  </si>
  <si>
    <t>heating_value_btu_per_scf(HHV)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</si>
</sst>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E5C9-8DC7-4ED9-BD7C-48F6B5B41F70}">
  <dimension ref="A1:H3"/>
  <sheetViews>
    <sheetView tabSelected="1" topLeftCell="D1" workbookViewId="0">
      <selection activeCell="D2" sqref="D2"/>
    </sheetView>
  </sheetViews>
  <sheetFormatPr defaultRowHeight="14.4" x14ac:dyDescent="0.3"/>
  <cols>
    <col min="1" max="1" width="11.88671875" bestFit="1" customWidth="1"/>
    <col min="2" max="2" width="19.77734375" bestFit="1" customWidth="1"/>
    <col min="3" max="3" width="22.5546875" bestFit="1" customWidth="1"/>
    <col min="4" max="4" width="24.21875" bestFit="1" customWidth="1"/>
    <col min="5" max="5" width="16.44140625" bestFit="1" customWidth="1"/>
    <col min="6" max="6" width="20.33203125" bestFit="1" customWidth="1"/>
    <col min="7" max="7" width="20.33203125" customWidth="1"/>
  </cols>
  <sheetData>
    <row r="1" spans="1:8" x14ac:dyDescent="0.3">
      <c r="A1" s="1" t="s">
        <v>0</v>
      </c>
      <c r="B1" s="1" t="s">
        <v>2</v>
      </c>
      <c r="C1" s="1" t="s">
        <v>3</v>
      </c>
      <c r="D1" s="1" t="s">
        <v>10</v>
      </c>
      <c r="E1" s="1" t="s">
        <v>4</v>
      </c>
      <c r="F1" s="1" t="s">
        <v>6</v>
      </c>
      <c r="G1" s="1" t="s">
        <v>8</v>
      </c>
      <c r="H1" s="1" t="s">
        <v>5</v>
      </c>
    </row>
    <row r="2" spans="1:8" x14ac:dyDescent="0.3">
      <c r="A2" s="2" t="s">
        <v>1</v>
      </c>
      <c r="B2" s="3">
        <v>153878.72</v>
      </c>
      <c r="C2" s="3">
        <v>20320.43</v>
      </c>
      <c r="D2" s="4">
        <v>1036</v>
      </c>
      <c r="E2" s="5">
        <f>G2/F2</f>
        <v>0.43491420815192422</v>
      </c>
      <c r="F2" s="2">
        <f>B2*10^6*D2</f>
        <v>159418353920000</v>
      </c>
      <c r="G2" s="2">
        <f>C2*10^6*3412</f>
        <v>69333307160000</v>
      </c>
      <c r="H2" t="s">
        <v>7</v>
      </c>
    </row>
    <row r="3" spans="1:8" x14ac:dyDescent="0.3">
      <c r="H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Sobe-Olisa Nwangene</dc:creator>
  <cp:lastModifiedBy>Sobe-Olisa Nwangene</cp:lastModifiedBy>
  <dcterms:created xsi:type="dcterms:W3CDTF">2026-01-30T22:21:56Z</dcterms:created>
  <dcterms:modified xsi:type="dcterms:W3CDTF">2026-06-14T11:54:53Z</dcterms:modified>
</cp:coreProperties>
</file>